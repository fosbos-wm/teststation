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Türchen" sheetId="2" state="visible" r:id="rId4"/>
  </sheets>
  <definedNames>
    <definedName function="false" hidden="false" localSheetId="1" name="_xlnm.Print_Titles" vbProcedure="false">Türchen!$1:$1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<sst xmlns="http://schemas.openxmlformats.org/spreadsheetml/2006/main" count="147" uniqueCount="103">
  <si>
    <t xml:space="preserve">Adventskalender – Türchen-Vorlage für die SMV</t>
  </si>
  <si>
    <t xml:space="preserve">Worum es geht</t>
  </si>
  <si>
    <t xml:space="preserve">Jeden Schultag öffnet sich in der Aula ein Türchen. Auf dem Handy steht die Tagesaufgabe (QR-Code). Ihr denkt euch die 24 Aufgaben aus. Türchen 1 bis 24 = 1. bis 24. Dezember 2026. Start ist Di 01.12. Die Wochenend-Türchen (5, 6, 12, 13, 19, 20) öffnen sich am folgenden Montag, Türchen 24 am Mi 23.12. (letzter Schultag vor den Ferien).</t>
  </si>
  <si>
    <t xml:space="preserve">Was ihr ausfüllt</t>
  </si>
  <si>
    <t xml:space="preserve">Auf dem Blatt „Türchen“ jede Zeile ausfüllen. Gelb = noch leer, grün = Beispiel (zum Abschauen, gern ersetzen), grau = steht schon fest (Nr., Kalendertag, Tag).</t>
  </si>
  <si>
    <t xml:space="preserve">Die vier Arten</t>
  </si>
  <si>
    <t xml:space="preserve">   Aktion</t>
  </si>
  <si>
    <t xml:space="preserve">Eine kleine Aufgabe für den Alltag (2–5 Min.), z. B. ein ehrliches Kompliment. Ausfüllen: Titel, Aufgabentext, Dauer.</t>
  </si>
  <si>
    <t xml:space="preserve">   Nur gemeinsam</t>
  </si>
  <si>
    <t xml:space="preserve">Ein Rätsel, bei dem jedes Handy nur einen Hinweis zeigt. Nur wer sich mit anderen zusammentut, kann es lösen. Ausfüllen: Hinweis 1–4 und Lösung (ein Wort).</t>
  </si>
  <si>
    <t xml:space="preserve">   Quiz</t>
  </si>
  <si>
    <t xml:space="preserve">Eine Frage mit vier Antworten. Ausfüllen: Frage im Aufgabentext, richtige Antwort in „Lösung / richtige Antwort“, drei falsche, kurze Erklärung.</t>
  </si>
  <si>
    <t xml:space="preserve">   Mitmachen</t>
  </si>
  <si>
    <t xml:space="preserve">Etwas Gemeinsames in der Schule, z. B. Dankeswand. Ausfüllen: Titel, Aufgabentext, Dauer. Denkt daran, wo und wie ihr es in der Schule umsetzt.</t>
  </si>
  <si>
    <t xml:space="preserve">Der Muffelwicht</t>
  </si>
  <si>
    <t xml:space="preserve">Jedes Türchen kann einen Spruch des Muffelwichts bekommen: mürrisch, aber nie gemein. Er mag am Anfang niemanden und taut mit jedem Licht etwas auf.</t>
  </si>
  <si>
    <t xml:space="preserve">Regeln</t>
  </si>
  <si>
    <t xml:space="preserve">•</t>
  </si>
  <si>
    <t xml:space="preserve">Alles ist freiwillig. Niemand wird bloßgestellt, niemand muss etwas Persönliches preisgeben.</t>
  </si>
  <si>
    <t xml:space="preserve">Keine Fotos von anderen ohne Zustimmung. Keine Ranglisten von Personen oder Klassen.</t>
  </si>
  <si>
    <t xml:space="preserve">Respektvoll und für alle offen: keine Witze über Menschen, Religionen oder Herkunft.</t>
  </si>
  <si>
    <t xml:space="preserve">Kurz halten: Aufgabentext höchstens 3 Sätze. Es muss auf dem Handy ohne Scrollen lesbar sein.</t>
  </si>
  <si>
    <t xml:space="preserve">Der Kalender speichert nichts über euch. Auch keine Namen eintragen, die jemand nicht möchte.</t>
  </si>
  <si>
    <t xml:space="preserve">Zeitplan</t>
  </si>
  <si>
    <t xml:space="preserve">Do 29.10. / Fr 30.10.</t>
  </si>
  <si>
    <t xml:space="preserve">Vorstellung bei der SMV, Gruppe von 2–4 Leuten bilden, Ideen sammeln (30 Ideen sind besser als 24).</t>
  </si>
  <si>
    <t xml:space="preserve">Herbstferien</t>
  </si>
  <si>
    <t xml:space="preserve">Pause (bitte Ferientermine gegenprüfen).</t>
  </si>
  <si>
    <t xml:space="preserve">bis Fr 20.11.</t>
  </si>
  <si>
    <t xml:space="preserve">Block 1 fertig: Türchen 1–8 (öffnen sich 01.12. bis 08.12.).</t>
  </si>
  <si>
    <t xml:space="preserve">23.–27.11.</t>
  </si>
  <si>
    <t xml:space="preserve">Gemeinsam durchlesen, Technik testen, Fehler korrigieren.</t>
  </si>
  <si>
    <t xml:space="preserve">Di 01.12.</t>
  </si>
  <si>
    <t xml:space="preserve">Start des Kalenders. Die SMV stellt ihn in der Aula selbst vor.</t>
  </si>
  <si>
    <t xml:space="preserve">bis Fr 04.12.</t>
  </si>
  <si>
    <t xml:space="preserve">Block 2 fertig: Türchen 9–16 (öffnen sich 09.12. bis 16.12.).</t>
  </si>
  <si>
    <t xml:space="preserve">bis Fr 11.12.</t>
  </si>
  <si>
    <t xml:space="preserve">Block 3 fertig: Türchen 17–24 (öffnen sich 17.12. bis 23.12.).</t>
  </si>
  <si>
    <t xml:space="preserve">Stand (zählt automatisch)</t>
  </si>
  <si>
    <t xml:space="preserve">   Idee</t>
  </si>
  <si>
    <t xml:space="preserve">   Entwurf</t>
  </si>
  <si>
    <t xml:space="preserve">   Fertig</t>
  </si>
  <si>
    <t xml:space="preserve">   Geprüft</t>
  </si>
  <si>
    <t xml:space="preserve">   Anteil Fertig oder Geprüft</t>
  </si>
  <si>
    <t xml:space="preserve">Hinweis</t>
  </si>
  <si>
    <t xml:space="preserve">Die Beispiele (grün) sind zum Abschauen und dürfen ersetzt werden. Die Öffnungstage gehen von den bayerischen Schultagen aus; bitte mit dem Jahreskalender der Schule gegenprüfen.</t>
  </si>
  <si>
    <t xml:space="preserve">Nr.</t>
  </si>
  <si>
    <t xml:space="preserve">Datum</t>
  </si>
  <si>
    <t xml:space="preserve">Tag</t>
  </si>
  <si>
    <t xml:space="preserve">Art</t>
  </si>
  <si>
    <t xml:space="preserve">Titel</t>
  </si>
  <si>
    <t xml:space="preserve">Aufgabentext (höchstens 3 Sätze)</t>
  </si>
  <si>
    <t xml:space="preserve">Dauer (Min.)</t>
  </si>
  <si>
    <t xml:space="preserve">Hinweis 1</t>
  </si>
  <si>
    <t xml:space="preserve">Hinweis 2</t>
  </si>
  <si>
    <t xml:space="preserve">Hinweis 3</t>
  </si>
  <si>
    <t xml:space="preserve">Hinweis 4</t>
  </si>
  <si>
    <t xml:space="preserve">Lösung / richtige Antwort</t>
  </si>
  <si>
    <t xml:space="preserve">Falsche Antwort 1</t>
  </si>
  <si>
    <t xml:space="preserve">Falsche Antwort 2</t>
  </si>
  <si>
    <t xml:space="preserve">Falsche Antwort 3</t>
  </si>
  <si>
    <t xml:space="preserve">Erklärung (nur Quiz)</t>
  </si>
  <si>
    <t xml:space="preserve">Spruch des Muffelwichts</t>
  </si>
  <si>
    <t xml:space="preserve">Zuständig</t>
  </si>
  <si>
    <t xml:space="preserve">Status</t>
  </si>
  <si>
    <t xml:space="preserve">Di</t>
  </si>
  <si>
    <t xml:space="preserve">Aktion</t>
  </si>
  <si>
    <t xml:space="preserve">Der erste Funke</t>
  </si>
  <si>
    <t xml:space="preserve">Sag heute einer Person aus deiner Klasse, was du an ihr magst. Kurz und ehrlich, ein Satz reicht.</t>
  </si>
  <si>
    <t xml:space="preserve">Pah. Ein Kompliment. Davon geht doch kein Licht an.</t>
  </si>
  <si>
    <t xml:space="preserve">Beispiel</t>
  </si>
  <si>
    <t xml:space="preserve">Mi</t>
  </si>
  <si>
    <t xml:space="preserve">Nur gemeinsam</t>
  </si>
  <si>
    <t xml:space="preserve">Vier Hinweise, eine Lösung</t>
  </si>
  <si>
    <t xml:space="preserve">Jede Person hat nur einen Teil des Rätsels. Findet andere mit anderen Hinweisen, tauscht euch aus und tippt das Lösungswort ein.</t>
  </si>
  <si>
    <t xml:space="preserve">Das Lösungswort hat 7 Buchstaben. Die ersten beiden sind LA.</t>
  </si>
  <si>
    <t xml:space="preserve">Die Buchstaben 3 und 4 sind TE.</t>
  </si>
  <si>
    <t xml:space="preserve">Die letzten drei Buchstaben sind RNE.</t>
  </si>
  <si>
    <t xml:space="preserve">Das Lösungswort leuchtet im Dunkeln und hängt oft an einem Haken.</t>
  </si>
  <si>
    <t xml:space="preserve">LATERNE</t>
  </si>
  <si>
    <t xml:space="preserve">Vier Leute für ein Wort? Das kann ich auch allein. Glaube ich.</t>
  </si>
  <si>
    <t xml:space="preserve">Do</t>
  </si>
  <si>
    <t xml:space="preserve">Quiz</t>
  </si>
  <si>
    <t xml:space="preserve">Woher kommt das Wort?</t>
  </si>
  <si>
    <t xml:space="preserve">Woher stammt das Wort „Solidarität“?</t>
  </si>
  <si>
    <t xml:space="preserve">Vom lateinischen „solidus“: fest, zusammenhaltend</t>
  </si>
  <si>
    <t xml:space="preserve">Vom griechischen „soli“: allein</t>
  </si>
  <si>
    <t xml:space="preserve">Vom altdeutschen „Sol“: Sonne</t>
  </si>
  <si>
    <t xml:space="preserve">Vom englischen „solid“ für stabile Möbel</t>
  </si>
  <si>
    <t xml:space="preserve">Solidarität kommt über das Französische vom lateinischen „solidus“ (fest, ganz). Gemeint ist: Wir halten fest zusammen.</t>
  </si>
  <si>
    <t xml:space="preserve">Fest zusammen. Sieht mir stark nach Kleber aus.</t>
  </si>
  <si>
    <t xml:space="preserve">Fr</t>
  </si>
  <si>
    <t xml:space="preserve">Mitmachen</t>
  </si>
  <si>
    <t xml:space="preserve">Die Dankeswand</t>
  </si>
  <si>
    <t xml:space="preserve">Schreib einen Satz an jemanden, der dir diese Woche geholfen hat, auf einen Zettel und häng ihn an die Dankeswand in der Aula.</t>
  </si>
  <si>
    <t xml:space="preserve">Zettel. An eine Wand. Aus Freiwilligkeit? Seltsame Leute.</t>
  </si>
  <si>
    <t xml:space="preserve">Sa</t>
  </si>
  <si>
    <t xml:space="preserve">Idee</t>
  </si>
  <si>
    <t xml:space="preserve">So</t>
  </si>
  <si>
    <t xml:space="preserve">Mo</t>
  </si>
  <si>
    <t xml:space="preserve">Das letzte Licht</t>
  </si>
  <si>
    <t xml:space="preserve">Kommt heute in der großen Pause in die Aula und schaut, was die Schule gemeinsam geschafft hat. Wünsch einer Person, die du kaum kennst, schöne Ferien.</t>
  </si>
  <si>
    <t xml:space="preserve">Ich habe nichts vorbereitet. Aber ich komme. Wirklich.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</si>
</sst>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.mm\.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45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450"/>
        <bgColor rgb="FF003366"/>
      </patternFill>
    </fill>
    <fill>
      <patternFill patternType="solid">
        <fgColor rgb="FFE8EAF3"/>
        <bgColor rgb="FFE3F2E8"/>
      </patternFill>
    </fill>
    <fill>
      <patternFill patternType="solid">
        <fgColor rgb="FFE3F2E8"/>
        <bgColor rgb="FFE8EAF3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5D9"/>
      </left>
      <right style="thin">
        <color rgb="FFBFC5D9"/>
      </right>
      <top style="thin">
        <color rgb="FFBFC5D9"/>
      </top>
      <bottom style="thin">
        <color rgb="FFBFC5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D9"/>
      <rgbColor rgb="FF808080"/>
      <rgbColor rgb="FF9999FF"/>
      <rgbColor rgb="FF993366"/>
      <rgbColor rgb="FFFFF8DC"/>
      <rgbColor rgb="FFE3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4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4"/>
  </cols>
  <sheetData>
    <row r="1" customFormat="false" ht="19.7" hidden="false" customHeight="false" outlineLevel="0" collapsed="false">
      <c r="A1" s="1" t="s">
        <v>0</v>
      </c>
    </row>
    <row r="3" customFormat="false" ht="61.5" hidden="false" customHeight="true" outlineLevel="0" collapsed="false">
      <c r="A3" s="2" t="s">
        <v>1</v>
      </c>
      <c r="B3" s="3" t="s">
        <v>2</v>
      </c>
    </row>
    <row r="4" customFormat="false" ht="33.75" hidden="false" customHeight="tru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2"/>
    </row>
    <row r="6" customFormat="false" ht="36" hidden="false" customHeight="true" outlineLevel="0" collapsed="false">
      <c r="A6" s="2" t="s">
        <v>6</v>
      </c>
      <c r="B6" s="3" t="s">
        <v>7</v>
      </c>
    </row>
    <row r="7" customFormat="false" ht="36" hidden="false" customHeight="true" outlineLevel="0" collapsed="false">
      <c r="A7" s="2" t="s">
        <v>8</v>
      </c>
      <c r="B7" s="3" t="s">
        <v>9</v>
      </c>
    </row>
    <row r="8" customFormat="false" ht="36" hidden="false" customHeight="true" outlineLevel="0" collapsed="false">
      <c r="A8" s="2" t="s">
        <v>10</v>
      </c>
      <c r="B8" s="3" t="s">
        <v>11</v>
      </c>
    </row>
    <row r="9" customFormat="false" ht="36" hidden="false" customHeight="true" outlineLevel="0" collapsed="false">
      <c r="A9" s="2" t="s">
        <v>12</v>
      </c>
      <c r="B9" s="3" t="s">
        <v>13</v>
      </c>
    </row>
    <row r="10" customFormat="false" ht="33.75" hidden="false" customHeight="true" outlineLevel="0" collapsed="false">
      <c r="A10" s="2" t="s">
        <v>14</v>
      </c>
      <c r="B10" s="3" t="s">
        <v>15</v>
      </c>
    </row>
    <row r="12" customFormat="false" ht="15" hidden="false" customHeight="false" outlineLevel="0" collapsed="false">
      <c r="A12" s="2" t="s">
        <v>16</v>
      </c>
      <c r="B12" s="2"/>
    </row>
    <row r="13" customFormat="false" ht="19.5" hidden="false" customHeight="true" outlineLevel="0" collapsed="false">
      <c r="A13" s="2" t="s">
        <v>17</v>
      </c>
      <c r="B13" s="3" t="s">
        <v>18</v>
      </c>
    </row>
    <row r="14" customFormat="false" ht="19.5" hidden="false" customHeight="true" outlineLevel="0" collapsed="false">
      <c r="A14" s="2" t="s">
        <v>17</v>
      </c>
      <c r="B14" s="3" t="s">
        <v>19</v>
      </c>
    </row>
    <row r="15" customFormat="false" ht="19.5" hidden="false" customHeight="true" outlineLevel="0" collapsed="false">
      <c r="A15" s="2" t="s">
        <v>17</v>
      </c>
      <c r="B15" s="3" t="s">
        <v>20</v>
      </c>
    </row>
    <row r="16" customFormat="false" ht="19.5" hidden="false" customHeight="true" outlineLevel="0" collapsed="false">
      <c r="A16" s="2" t="s">
        <v>17</v>
      </c>
      <c r="B16" s="3" t="s">
        <v>21</v>
      </c>
    </row>
    <row r="17" customFormat="false" ht="19.5" hidden="false" customHeight="true" outlineLevel="0" collapsed="false">
      <c r="A17" s="2" t="s">
        <v>17</v>
      </c>
      <c r="B17" s="3" t="s">
        <v>22</v>
      </c>
    </row>
    <row r="19" customFormat="false" ht="15" hidden="false" customHeight="false" outlineLevel="0" collapsed="false">
      <c r="A19" s="2" t="s">
        <v>23</v>
      </c>
      <c r="B19" s="2"/>
    </row>
    <row r="20" customFormat="false" ht="31.5" hidden="false" customHeight="true" outlineLevel="0" collapsed="false">
      <c r="A20" s="2" t="s">
        <v>24</v>
      </c>
      <c r="B20" s="3" t="s">
        <v>25</v>
      </c>
    </row>
    <row r="21" customFormat="false" ht="31.5" hidden="false" customHeight="true" outlineLevel="0" collapsed="false">
      <c r="A21" s="2" t="s">
        <v>26</v>
      </c>
      <c r="B21" s="3" t="s">
        <v>27</v>
      </c>
    </row>
    <row r="22" customFormat="false" ht="31.5" hidden="false" customHeight="true" outlineLevel="0" collapsed="false">
      <c r="A22" s="2" t="s">
        <v>28</v>
      </c>
      <c r="B22" s="3" t="s">
        <v>29</v>
      </c>
    </row>
    <row r="23" customFormat="false" ht="31.5" hidden="false" customHeight="true" outlineLevel="0" collapsed="false">
      <c r="A23" s="2" t="s">
        <v>30</v>
      </c>
      <c r="B23" s="3" t="s">
        <v>31</v>
      </c>
    </row>
    <row r="24" customFormat="false" ht="31.5" hidden="false" customHeight="true" outlineLevel="0" collapsed="false">
      <c r="A24" s="2" t="s">
        <v>32</v>
      </c>
      <c r="B24" s="3" t="s">
        <v>33</v>
      </c>
    </row>
    <row r="25" customFormat="false" ht="31.5" hidden="false" customHeight="true" outlineLevel="0" collapsed="false">
      <c r="A25" s="2" t="s">
        <v>34</v>
      </c>
      <c r="B25" s="3" t="s">
        <v>35</v>
      </c>
    </row>
    <row r="26" customFormat="false" ht="31.5" hidden="false" customHeight="true" outlineLevel="0" collapsed="false">
      <c r="A26" s="2" t="s">
        <v>36</v>
      </c>
      <c r="B26" s="3" t="s">
        <v>37</v>
      </c>
    </row>
    <row r="28" customFormat="false" ht="15" hidden="false" customHeight="false" outlineLevel="0" collapsed="false">
      <c r="A28" s="2" t="s">
        <v>38</v>
      </c>
      <c r="B28" s="2"/>
    </row>
    <row r="29" customFormat="false" ht="15" hidden="false" customHeight="false" outlineLevel="0" collapsed="false">
      <c r="A29" s="4" t="s">
        <v>39</v>
      </c>
      <c r="B29" s="5" t="n">
        <f aca="false">COUNTIF(Türchen!$S$2:$S$25,"Idee")</f>
        <v>19</v>
      </c>
    </row>
    <row r="30" customFormat="false" ht="15" hidden="false" customHeight="false" outlineLevel="0" collapsed="false">
      <c r="A30" s="4" t="s">
        <v>40</v>
      </c>
      <c r="B30" s="5" t="n">
        <f aca="false">COUNTIF(Türchen!$S$2:$S$25,"Entwurf")</f>
        <v>0</v>
      </c>
    </row>
    <row r="31" customFormat="false" ht="15" hidden="false" customHeight="false" outlineLevel="0" collapsed="false">
      <c r="A31" s="4" t="s">
        <v>41</v>
      </c>
      <c r="B31" s="5" t="n">
        <f aca="false">COUNTIF(Türchen!$S$2:$S$25,"Fertig")</f>
        <v>0</v>
      </c>
    </row>
    <row r="32" customFormat="false" ht="15" hidden="false" customHeight="false" outlineLevel="0" collapsed="false">
      <c r="A32" s="4" t="s">
        <v>42</v>
      </c>
      <c r="B32" s="5" t="n">
        <f aca="false">COUNTIF(Türchen!$S$2:$S$25,"Geprüft")</f>
        <v>0</v>
      </c>
    </row>
    <row r="33" customFormat="false" ht="15" hidden="false" customHeight="false" outlineLevel="0" collapsed="false">
      <c r="A33" s="6" t="s">
        <v>43</v>
      </c>
      <c r="B33" s="7" t="n">
        <f aca="false">(B31+B32)/24</f>
        <v>0</v>
      </c>
    </row>
    <row r="35" customFormat="false" ht="48" hidden="false" customHeight="true" outlineLevel="0" collapsed="false">
      <c r="A35" s="2" t="s">
        <v>44</v>
      </c>
      <c r="B35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52"/>
    <col collapsed="false" customWidth="true" hidden="false" outlineLevel="0" max="7" min="7" style="0" width="9"/>
    <col collapsed="false" customWidth="true" hidden="false" outlineLevel="0" max="12" min="8" style="0" width="30"/>
    <col collapsed="false" customWidth="true" hidden="false" outlineLevel="0" max="15" min="13" style="0" width="26"/>
    <col collapsed="false" customWidth="true" hidden="false" outlineLevel="0" max="17" min="16" style="0" width="36"/>
    <col collapsed="false" customWidth="true" hidden="false" outlineLevel="0" max="18" min="18" style="0" width="14"/>
    <col collapsed="false" customWidth="true" hidden="false" outlineLevel="0" max="19" min="19" style="0" width="11"/>
  </cols>
  <sheetData>
    <row r="1" customFormat="false" ht="33.75" hidden="false" customHeight="tru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62</v>
      </c>
      <c r="R1" s="8" t="s">
        <v>63</v>
      </c>
      <c r="S1" s="8" t="s">
        <v>64</v>
      </c>
    </row>
    <row r="2" customFormat="false" ht="61.5" hidden="false" customHeight="true" outlineLevel="0" collapsed="false">
      <c r="A2" s="9" t="n">
        <v>1</v>
      </c>
      <c r="B2" s="10" t="n">
        <v>46357</v>
      </c>
      <c r="C2" s="11" t="s">
        <v>65</v>
      </c>
      <c r="D2" s="12" t="s">
        <v>66</v>
      </c>
      <c r="E2" s="12" t="s">
        <v>67</v>
      </c>
      <c r="F2" s="12" t="s">
        <v>68</v>
      </c>
      <c r="G2" s="13" t="n">
        <v>2</v>
      </c>
      <c r="H2" s="12"/>
      <c r="I2" s="12"/>
      <c r="J2" s="12"/>
      <c r="K2" s="12"/>
      <c r="L2" s="12"/>
      <c r="M2" s="12"/>
      <c r="N2" s="12"/>
      <c r="O2" s="12"/>
      <c r="P2" s="12"/>
      <c r="Q2" s="12" t="s">
        <v>69</v>
      </c>
      <c r="R2" s="12"/>
      <c r="S2" s="13" t="s">
        <v>70</v>
      </c>
    </row>
    <row r="3" customFormat="false" ht="61.5" hidden="false" customHeight="true" outlineLevel="0" collapsed="false">
      <c r="A3" s="9" t="n">
        <v>2</v>
      </c>
      <c r="B3" s="10" t="n">
        <v>46358</v>
      </c>
      <c r="C3" s="11" t="s">
        <v>71</v>
      </c>
      <c r="D3" s="12" t="s">
        <v>72</v>
      </c>
      <c r="E3" s="12" t="s">
        <v>73</v>
      </c>
      <c r="F3" s="12" t="s">
        <v>74</v>
      </c>
      <c r="G3" s="13" t="n">
        <v>5</v>
      </c>
      <c r="H3" s="12" t="s">
        <v>75</v>
      </c>
      <c r="I3" s="12" t="s">
        <v>76</v>
      </c>
      <c r="J3" s="12" t="s">
        <v>77</v>
      </c>
      <c r="K3" s="12" t="s">
        <v>78</v>
      </c>
      <c r="L3" s="12" t="s">
        <v>79</v>
      </c>
      <c r="M3" s="12"/>
      <c r="N3" s="12"/>
      <c r="O3" s="12"/>
      <c r="P3" s="12"/>
      <c r="Q3" s="12" t="s">
        <v>80</v>
      </c>
      <c r="R3" s="12"/>
      <c r="S3" s="13" t="s">
        <v>70</v>
      </c>
    </row>
    <row r="4" customFormat="false" ht="61.5" hidden="false" customHeight="true" outlineLevel="0" collapsed="false">
      <c r="A4" s="9" t="n">
        <v>3</v>
      </c>
      <c r="B4" s="10" t="n">
        <v>46359</v>
      </c>
      <c r="C4" s="11" t="s">
        <v>81</v>
      </c>
      <c r="D4" s="12" t="s">
        <v>82</v>
      </c>
      <c r="E4" s="12" t="s">
        <v>83</v>
      </c>
      <c r="F4" s="12" t="s">
        <v>84</v>
      </c>
      <c r="G4" s="13" t="n">
        <v>1</v>
      </c>
      <c r="H4" s="12"/>
      <c r="I4" s="12"/>
      <c r="J4" s="12"/>
      <c r="K4" s="12"/>
      <c r="L4" s="12" t="s">
        <v>85</v>
      </c>
      <c r="M4" s="12" t="s">
        <v>86</v>
      </c>
      <c r="N4" s="12" t="s">
        <v>87</v>
      </c>
      <c r="O4" s="12" t="s">
        <v>88</v>
      </c>
      <c r="P4" s="12" t="s">
        <v>89</v>
      </c>
      <c r="Q4" s="12" t="s">
        <v>90</v>
      </c>
      <c r="R4" s="12"/>
      <c r="S4" s="13" t="s">
        <v>70</v>
      </c>
    </row>
    <row r="5" customFormat="false" ht="61.5" hidden="false" customHeight="true" outlineLevel="0" collapsed="false">
      <c r="A5" s="9" t="n">
        <v>4</v>
      </c>
      <c r="B5" s="10" t="n">
        <v>46360</v>
      </c>
      <c r="C5" s="11" t="s">
        <v>91</v>
      </c>
      <c r="D5" s="12" t="s">
        <v>92</v>
      </c>
      <c r="E5" s="12" t="s">
        <v>93</v>
      </c>
      <c r="F5" s="12" t="s">
        <v>94</v>
      </c>
      <c r="G5" s="13" t="n">
        <v>3</v>
      </c>
      <c r="H5" s="12"/>
      <c r="I5" s="12"/>
      <c r="J5" s="12"/>
      <c r="K5" s="12"/>
      <c r="L5" s="12"/>
      <c r="M5" s="12"/>
      <c r="N5" s="12"/>
      <c r="O5" s="12"/>
      <c r="P5" s="12"/>
      <c r="Q5" s="12" t="s">
        <v>95</v>
      </c>
      <c r="R5" s="12"/>
      <c r="S5" s="13" t="s">
        <v>70</v>
      </c>
    </row>
    <row r="6" customFormat="false" ht="21.75" hidden="false" customHeight="true" outlineLevel="0" collapsed="false">
      <c r="A6" s="9" t="n">
        <v>5</v>
      </c>
      <c r="B6" s="10" t="n">
        <v>46361</v>
      </c>
      <c r="C6" s="11" t="s">
        <v>96</v>
      </c>
      <c r="D6" s="14"/>
      <c r="E6" s="14"/>
      <c r="F6" s="14"/>
      <c r="G6" s="15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 t="s">
        <v>97</v>
      </c>
    </row>
    <row r="7" customFormat="false" ht="21.75" hidden="false" customHeight="true" outlineLevel="0" collapsed="false">
      <c r="A7" s="9" t="n">
        <v>6</v>
      </c>
      <c r="B7" s="10" t="n">
        <v>46362</v>
      </c>
      <c r="C7" s="11" t="s">
        <v>98</v>
      </c>
      <c r="D7" s="14"/>
      <c r="E7" s="14"/>
      <c r="F7" s="14"/>
      <c r="G7" s="15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5" t="s">
        <v>97</v>
      </c>
    </row>
    <row r="8" customFormat="false" ht="21.75" hidden="false" customHeight="true" outlineLevel="0" collapsed="false">
      <c r="A8" s="9" t="n">
        <v>7</v>
      </c>
      <c r="B8" s="10" t="n">
        <v>46363</v>
      </c>
      <c r="C8" s="11" t="s">
        <v>99</v>
      </c>
      <c r="D8" s="14"/>
      <c r="E8" s="14"/>
      <c r="F8" s="14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 t="s">
        <v>97</v>
      </c>
    </row>
    <row r="9" customFormat="false" ht="21.75" hidden="false" customHeight="true" outlineLevel="0" collapsed="false">
      <c r="A9" s="9" t="n">
        <v>8</v>
      </c>
      <c r="B9" s="10" t="n">
        <v>46364</v>
      </c>
      <c r="C9" s="11" t="s">
        <v>65</v>
      </c>
      <c r="D9" s="14"/>
      <c r="E9" s="14"/>
      <c r="F9" s="14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5" t="s">
        <v>97</v>
      </c>
    </row>
    <row r="10" customFormat="false" ht="21.75" hidden="false" customHeight="true" outlineLevel="0" collapsed="false">
      <c r="A10" s="9" t="n">
        <v>9</v>
      </c>
      <c r="B10" s="10" t="n">
        <v>46365</v>
      </c>
      <c r="C10" s="11" t="s">
        <v>71</v>
      </c>
      <c r="D10" s="14"/>
      <c r="E10" s="14"/>
      <c r="F10" s="14"/>
      <c r="G10" s="15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5" t="s">
        <v>97</v>
      </c>
    </row>
    <row r="11" customFormat="false" ht="21.75" hidden="false" customHeight="true" outlineLevel="0" collapsed="false">
      <c r="A11" s="9" t="n">
        <v>10</v>
      </c>
      <c r="B11" s="10" t="n">
        <v>46366</v>
      </c>
      <c r="C11" s="11" t="s">
        <v>81</v>
      </c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5" t="s">
        <v>97</v>
      </c>
    </row>
    <row r="12" customFormat="false" ht="21.75" hidden="false" customHeight="true" outlineLevel="0" collapsed="false">
      <c r="A12" s="9" t="n">
        <v>11</v>
      </c>
      <c r="B12" s="10" t="n">
        <v>46367</v>
      </c>
      <c r="C12" s="11" t="s">
        <v>91</v>
      </c>
      <c r="D12" s="14"/>
      <c r="E12" s="14"/>
      <c r="F12" s="14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 t="s">
        <v>97</v>
      </c>
    </row>
    <row r="13" customFormat="false" ht="21.75" hidden="false" customHeight="true" outlineLevel="0" collapsed="false">
      <c r="A13" s="9" t="n">
        <v>12</v>
      </c>
      <c r="B13" s="10" t="n">
        <v>46368</v>
      </c>
      <c r="C13" s="11" t="s">
        <v>96</v>
      </c>
      <c r="D13" s="14"/>
      <c r="E13" s="14"/>
      <c r="F13" s="14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5" t="s">
        <v>97</v>
      </c>
    </row>
    <row r="14" customFormat="false" ht="21.75" hidden="false" customHeight="true" outlineLevel="0" collapsed="false">
      <c r="A14" s="9" t="n">
        <v>13</v>
      </c>
      <c r="B14" s="10" t="n">
        <v>46369</v>
      </c>
      <c r="C14" s="11" t="s">
        <v>98</v>
      </c>
      <c r="D14" s="14"/>
      <c r="E14" s="14"/>
      <c r="F14" s="14"/>
      <c r="G14" s="15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 t="s">
        <v>97</v>
      </c>
    </row>
    <row r="15" customFormat="false" ht="21.75" hidden="false" customHeight="true" outlineLevel="0" collapsed="false">
      <c r="A15" s="9" t="n">
        <v>14</v>
      </c>
      <c r="B15" s="10" t="n">
        <v>46370</v>
      </c>
      <c r="C15" s="11" t="s">
        <v>99</v>
      </c>
      <c r="D15" s="14"/>
      <c r="E15" s="14"/>
      <c r="F15" s="14"/>
      <c r="G15" s="15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5" t="s">
        <v>97</v>
      </c>
    </row>
    <row r="16" customFormat="false" ht="21.75" hidden="false" customHeight="true" outlineLevel="0" collapsed="false">
      <c r="A16" s="9" t="n">
        <v>15</v>
      </c>
      <c r="B16" s="10" t="n">
        <v>46371</v>
      </c>
      <c r="C16" s="11" t="s">
        <v>65</v>
      </c>
      <c r="D16" s="14"/>
      <c r="E16" s="14"/>
      <c r="F16" s="14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5" t="s">
        <v>97</v>
      </c>
    </row>
    <row r="17" customFormat="false" ht="21.75" hidden="false" customHeight="true" outlineLevel="0" collapsed="false">
      <c r="A17" s="9" t="n">
        <v>16</v>
      </c>
      <c r="B17" s="10" t="n">
        <v>46372</v>
      </c>
      <c r="C17" s="11" t="s">
        <v>71</v>
      </c>
      <c r="D17" s="14"/>
      <c r="E17" s="14"/>
      <c r="F17" s="14"/>
      <c r="G17" s="15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5" t="s">
        <v>97</v>
      </c>
    </row>
    <row r="18" customFormat="false" ht="21.75" hidden="false" customHeight="true" outlineLevel="0" collapsed="false">
      <c r="A18" s="9" t="n">
        <v>17</v>
      </c>
      <c r="B18" s="10" t="n">
        <v>46373</v>
      </c>
      <c r="C18" s="11" t="s">
        <v>81</v>
      </c>
      <c r="D18" s="14"/>
      <c r="E18" s="14"/>
      <c r="F18" s="14"/>
      <c r="G18" s="15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5" t="s">
        <v>97</v>
      </c>
    </row>
    <row r="19" customFormat="false" ht="21.75" hidden="false" customHeight="true" outlineLevel="0" collapsed="false">
      <c r="A19" s="9" t="n">
        <v>18</v>
      </c>
      <c r="B19" s="10" t="n">
        <v>46374</v>
      </c>
      <c r="C19" s="11" t="s">
        <v>91</v>
      </c>
      <c r="D19" s="14"/>
      <c r="E19" s="14"/>
      <c r="F19" s="14"/>
      <c r="G19" s="15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5" t="s">
        <v>97</v>
      </c>
    </row>
    <row r="20" customFormat="false" ht="21.75" hidden="false" customHeight="true" outlineLevel="0" collapsed="false">
      <c r="A20" s="9" t="n">
        <v>19</v>
      </c>
      <c r="B20" s="10" t="n">
        <v>46375</v>
      </c>
      <c r="C20" s="11" t="s">
        <v>96</v>
      </c>
      <c r="D20" s="14"/>
      <c r="E20" s="14"/>
      <c r="F20" s="14"/>
      <c r="G20" s="15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5" t="s">
        <v>97</v>
      </c>
    </row>
    <row r="21" customFormat="false" ht="21.75" hidden="false" customHeight="true" outlineLevel="0" collapsed="false">
      <c r="A21" s="9" t="n">
        <v>20</v>
      </c>
      <c r="B21" s="10" t="n">
        <v>46376</v>
      </c>
      <c r="C21" s="11" t="s">
        <v>98</v>
      </c>
      <c r="D21" s="14"/>
      <c r="E21" s="14"/>
      <c r="F21" s="14"/>
      <c r="G21" s="15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5" t="s">
        <v>97</v>
      </c>
    </row>
    <row r="22" customFormat="false" ht="21.75" hidden="false" customHeight="true" outlineLevel="0" collapsed="false">
      <c r="A22" s="9" t="n">
        <v>21</v>
      </c>
      <c r="B22" s="10" t="n">
        <v>46377</v>
      </c>
      <c r="C22" s="11" t="s">
        <v>99</v>
      </c>
      <c r="D22" s="14"/>
      <c r="E22" s="14"/>
      <c r="F22" s="14"/>
      <c r="G22" s="15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 t="s">
        <v>97</v>
      </c>
    </row>
    <row r="23" customFormat="false" ht="21.75" hidden="false" customHeight="true" outlineLevel="0" collapsed="false">
      <c r="A23" s="9" t="n">
        <v>22</v>
      </c>
      <c r="B23" s="10" t="n">
        <v>46378</v>
      </c>
      <c r="C23" s="11" t="s">
        <v>65</v>
      </c>
      <c r="D23" s="14"/>
      <c r="E23" s="14"/>
      <c r="F23" s="14"/>
      <c r="G23" s="15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5" t="s">
        <v>97</v>
      </c>
    </row>
    <row r="24" customFormat="false" ht="21.75" hidden="false" customHeight="true" outlineLevel="0" collapsed="false">
      <c r="A24" s="9" t="n">
        <v>23</v>
      </c>
      <c r="B24" s="10" t="n">
        <v>46379</v>
      </c>
      <c r="C24" s="11" t="s">
        <v>71</v>
      </c>
      <c r="D24" s="14"/>
      <c r="E24" s="14"/>
      <c r="F24" s="14"/>
      <c r="G24" s="15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5" t="s">
        <v>97</v>
      </c>
    </row>
    <row r="25" customFormat="false" ht="61.5" hidden="false" customHeight="true" outlineLevel="0" collapsed="false">
      <c r="A25" s="9" t="n">
        <v>24</v>
      </c>
      <c r="B25" s="10" t="n">
        <v>46380</v>
      </c>
      <c r="C25" s="11" t="s">
        <v>81</v>
      </c>
      <c r="D25" s="12" t="s">
        <v>92</v>
      </c>
      <c r="E25" s="12" t="s">
        <v>100</v>
      </c>
      <c r="F25" s="12" t="s">
        <v>101</v>
      </c>
      <c r="G25" s="13" t="n">
        <v>5</v>
      </c>
      <c r="H25" s="12"/>
      <c r="I25" s="12"/>
      <c r="J25" s="12"/>
      <c r="K25" s="12"/>
      <c r="L25" s="12"/>
      <c r="M25" s="12"/>
      <c r="N25" s="12"/>
      <c r="O25" s="12"/>
      <c r="P25" s="12"/>
      <c r="Q25" s="12" t="s">
        <v>102</v>
      </c>
      <c r="R25" s="12"/>
      <c r="S25" s="13" t="s">
        <v>70</v>
      </c>
    </row>
  </sheetData>
  <dataValidations count="2">
    <dataValidation allowBlank="true" errorStyle="stop" operator="between" showDropDown="false" showErrorMessage="false" showInputMessage="false" sqref="D2:D25" type="list">
      <formula1>"Aktion,Nur gemeinsam,Quiz,Mitmachen"</formula1>
      <formula2>0</formula2>
    </dataValidation>
    <dataValidation allowBlank="true" errorStyle="stop" operator="between" showDropDown="false" showErrorMessage="false" showInputMessage="false" sqref="S2:S25" type="list">
      <formula1>"Idee,Entwurf,Fertig,Geprüft,Beispiel"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2026-10-24T14:00:25Z</dcterms:created>
  <dc:creator>openpyxl</dc:creator>
  <dc:description/>
  <dc:language>en-US</dc:language>
  <cp:lastModifiedBy/>
  <dcterms:modified xsi:type="dcterms:W3CDTF">2026-10-24T14:00:25Z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